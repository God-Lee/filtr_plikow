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rupaekoinbud.sharepoint.com/R/0. Foldery wzorcowe/Standard nazewnictwa/"/>
    </mc:Choice>
  </mc:AlternateContent>
  <xr:revisionPtr revIDLastSave="212" documentId="108_{47CE81E1-143F-4878-9DFD-1B36730DCC07}" xr6:coauthVersionLast="47" xr6:coauthVersionMax="47" xr10:uidLastSave="{53A0B52B-817B-493D-9438-3E16F4AF6B9D}"/>
  <bookViews>
    <workbookView xWindow="-120" yWindow="-120" windowWidth="38640" windowHeight="21840" xr2:uid="{B62516DD-8C25-48EF-9D17-2D3081CD3A20}"/>
  </bookViews>
  <sheets>
    <sheet name="Nazewnictwo" sheetId="7" r:id="rId1"/>
    <sheet name="Log zmian" sheetId="8" r:id="rId2"/>
  </sheets>
  <definedNames>
    <definedName name="Branża">Branża_tbl[Branża]</definedName>
    <definedName name="Faza">Faza_tbl[Faza]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7" l="1"/>
  <c r="I8" i="7"/>
  <c r="D8" i="7"/>
  <c r="H8" i="7" l="1"/>
  <c r="E8" i="7"/>
  <c r="C8" i="7"/>
  <c r="F8" i="7" s="1"/>
  <c r="B8" i="7"/>
  <c r="A8" i="7"/>
  <c r="A5" i="7" l="1"/>
  <c r="I5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tc={39287B89-791A-45A5-89DC-54ABA5A3462D}</author>
    <author>tc={5E324D6D-A47A-4536-85E1-DFA18F3B10A2}</author>
    <author>tc={E1742E30-FB3C-4DB9-9A63-6C8588013569}</author>
  </authors>
  <commentList>
    <comment ref="F10" authorId="0" shapeId="0" xr:uid="{39287B89-791A-45A5-89DC-54ABA5A3462D}">
      <text>
        <t>[Threaded comment]
Your version of Excel allows you to read this threaded comment; however, any edits to it will get removed if the file is opened in a newer version of Excel. Learn more: https://go.microsoft.com/fwlink/?linkid=870924
Comment:
    Dokument nie posiada ramki z numerem arkusza</t>
      </text>
    </comment>
    <comment ref="F11" authorId="1" shapeId="0" xr:uid="{5E324D6D-A47A-4536-85E1-DFA18F3B10A2}">
      <text>
        <t>[Threaded comment]
Your version of Excel allows you to read this threaded comment; however, any edits to it will get removed if the file is opened in a newer version of Excel. Learn more: https://go.microsoft.com/fwlink/?linkid=870924
Comment:
    Dokument dotyczy danej branży i posiada ramkę z numerem arkusza</t>
      </text>
    </comment>
    <comment ref="E14" authorId="2" shapeId="0" xr:uid="{E1742E30-FB3C-4DB9-9A63-6C8588013569}">
      <text>
        <t>[Threaded comment]
Your version of Excel allows you to read this threaded comment; however, any edits to it will get removed if the file is opened in a newer version of Excel. Learn more: https://go.microsoft.com/fwlink/?linkid=870924
Comment:
    także rzut stropu jętkowego/antresoli nad piętrem</t>
      </text>
    </comment>
  </commentList>
</comments>
</file>

<file path=xl/sharedStrings.xml><?xml version="1.0" encoding="utf-8"?>
<sst xmlns="http://schemas.openxmlformats.org/spreadsheetml/2006/main" count="155" uniqueCount="141">
  <si>
    <t>Wersja standardu nazewnictwa:</t>
  </si>
  <si>
    <t>v3.1.4</t>
  </si>
  <si>
    <t>Data wprowadzenia wersji:</t>
  </si>
  <si>
    <t>Nazwę pliku zmieniasz edytując poszczególne wartości w rzędzie 7</t>
  </si>
  <si>
    <t>Numer projektu</t>
  </si>
  <si>
    <t>Faza</t>
  </si>
  <si>
    <t>Branża</t>
  </si>
  <si>
    <t>Typ</t>
  </si>
  <si>
    <t>Poziom</t>
  </si>
  <si>
    <t>Numer</t>
  </si>
  <si>
    <t>Rewizja</t>
  </si>
  <si>
    <t>Status</t>
  </si>
  <si>
    <t>25055</t>
  </si>
  <si>
    <t>ZL - Dokumenty formalne, załączniki</t>
  </si>
  <si>
    <t>AR - Architektura</t>
  </si>
  <si>
    <t>STW - Stwiorb</t>
  </si>
  <si>
    <t>XX - Nie dotyczy/wiele poziomów</t>
  </si>
  <si>
    <t>01</t>
  </si>
  <si>
    <t>R00 - Rewizja "zerowa" (domyślna)</t>
  </si>
  <si>
    <t>S2 - wersja robocza, wydana do zatwierdzenia</t>
  </si>
  <si>
    <t>LINK</t>
  </si>
  <si>
    <t>str 22</t>
  </si>
  <si>
    <t>Numer z Shodanna</t>
  </si>
  <si>
    <t>Branża_nr</t>
  </si>
  <si>
    <t>Numer arkusza</t>
  </si>
  <si>
    <t>Rewizja/wersja</t>
  </si>
  <si>
    <t>Wydanie</t>
  </si>
  <si>
    <t>CR - Koordynacja</t>
  </si>
  <si>
    <t>AK - Architektura krajobrazu</t>
  </si>
  <si>
    <t>AOP - Analiza optymalizacyjno-porównawcza</t>
  </si>
  <si>
    <t>P0 - Parter</t>
  </si>
  <si>
    <t>X</t>
  </si>
  <si>
    <t>S0 - plik roboczy</t>
  </si>
  <si>
    <t>DP - Dokumentacja Powykonawcza</t>
  </si>
  <si>
    <t>BIO - BIOZ</t>
  </si>
  <si>
    <t>P1 - Piętro 1</t>
  </si>
  <si>
    <t>02</t>
  </si>
  <si>
    <t>R01 - pierwsza rewizja</t>
  </si>
  <si>
    <t>S1 - wersja robocza, tylko do koordynacji międzybranżowej</t>
  </si>
  <si>
    <t>IN - Inwentaryzacja</t>
  </si>
  <si>
    <t>AW - Projekt wnętrz</t>
  </si>
  <si>
    <t>BWD - Bilans wód deszczowych</t>
  </si>
  <si>
    <t>P2 - Piętro 2</t>
  </si>
  <si>
    <t>03</t>
  </si>
  <si>
    <t>W01 - pierwsza wersja koncepcji (domyślna)</t>
  </si>
  <si>
    <t>PB - Projekt Arch-Bud, PZT</t>
  </si>
  <si>
    <t>CHE - Charakterystyka energetyczna</t>
  </si>
  <si>
    <t>M0 - Półpiętro nad parterem</t>
  </si>
  <si>
    <t>04</t>
  </si>
  <si>
    <t>W0X - kolejne wersje koncepcji</t>
  </si>
  <si>
    <t>A1 - wersja zatwierdzona, na potrzeby budowy</t>
  </si>
  <si>
    <t>PF - Program Funkcjonalno-Użytkowy</t>
  </si>
  <si>
    <t>DR - Drogowa</t>
  </si>
  <si>
    <t>CSE - Przekrój</t>
  </si>
  <si>
    <t>M1 - Półpiętro nad 1 piętrem</t>
  </si>
  <si>
    <t>05</t>
  </si>
  <si>
    <t>PK - Projekt Koncepcyjny</t>
  </si>
  <si>
    <t>EL - Instalacje elektryczne</t>
  </si>
  <si>
    <t>DET - Detal</t>
  </si>
  <si>
    <t>D0 - Dach</t>
  </si>
  <si>
    <t>06</t>
  </si>
  <si>
    <t>PT - Projekt Techniczny</t>
  </si>
  <si>
    <t>ET - instalacje teletechniczne</t>
  </si>
  <si>
    <t>ELE - Elewacje</t>
  </si>
  <si>
    <t>B1 - Pierwsza kondygnacja podziemna</t>
  </si>
  <si>
    <t>07</t>
  </si>
  <si>
    <t>PW - Projekt Wykonawczy</t>
  </si>
  <si>
    <t>GE - Geodezja</t>
  </si>
  <si>
    <t>IFC - Plik IFC</t>
  </si>
  <si>
    <t>B2 - Druga kondygnacja podziemna</t>
  </si>
  <si>
    <t>08</t>
  </si>
  <si>
    <t>PZ - Projekt zamienny</t>
  </si>
  <si>
    <t>GT - Geotechnika / geologia</t>
  </si>
  <si>
    <t>INN - Inne</t>
  </si>
  <si>
    <t>09</t>
  </si>
  <si>
    <t>RO - Projekt rozbiórek</t>
  </si>
  <si>
    <t>KF - Konstrukcja fundamentów</t>
  </si>
  <si>
    <t>KST - Kosztorys</t>
  </si>
  <si>
    <t>10</t>
  </si>
  <si>
    <t>WD - Wdrożenie</t>
  </si>
  <si>
    <t>KO - Konstrukcja</t>
  </si>
  <si>
    <t>MAP - Mapa</t>
  </si>
  <si>
    <t>11</t>
  </si>
  <si>
    <t>KP - Konstrukcja pali</t>
  </si>
  <si>
    <t>MOD - Model</t>
  </si>
  <si>
    <t>12</t>
  </si>
  <si>
    <t>KW - Konstrukcja wiązarów</t>
  </si>
  <si>
    <t>OBR - Obrazek, logo</t>
  </si>
  <si>
    <t>13</t>
  </si>
  <si>
    <t>PO - pożarowe ogólne</t>
  </si>
  <si>
    <t>OPP - Opis projektu</t>
  </si>
  <si>
    <t>14</t>
  </si>
  <si>
    <t>PS - SSP, Dso</t>
  </si>
  <si>
    <t>OPZ - Opis PZT</t>
  </si>
  <si>
    <t>15</t>
  </si>
  <si>
    <t>SA - Instalacje Sanitarne</t>
  </si>
  <si>
    <t>ORR - Organizacja ruchu (SOR/TOR)</t>
  </si>
  <si>
    <t>16</t>
  </si>
  <si>
    <t>SD - Instalacje wodociągowe</t>
  </si>
  <si>
    <t>PDW - Przygotowanie do wdrożenia</t>
  </si>
  <si>
    <t>17</t>
  </si>
  <si>
    <t>SG - Instalacja gazowa</t>
  </si>
  <si>
    <t>PRD - Przedmiar</t>
  </si>
  <si>
    <t>18</t>
  </si>
  <si>
    <t>SK - Instalacja kanalizacyjna</t>
  </si>
  <si>
    <t>PRF - Profil</t>
  </si>
  <si>
    <t>19</t>
  </si>
  <si>
    <t>SO - Instalacje ogrzewania (podłogówka, ale też elektryczne)</t>
  </si>
  <si>
    <t>PRO - Projekt</t>
  </si>
  <si>
    <t>20</t>
  </si>
  <si>
    <t>SW - Wentylacja i Klimatyzacja</t>
  </si>
  <si>
    <t>PZT - PZT, model PZT</t>
  </si>
  <si>
    <t>TK - Technologia kuchni</t>
  </si>
  <si>
    <t>RFU - Rzut fundamentów</t>
  </si>
  <si>
    <t>XX - Nie dotyczy/wiele branż</t>
  </si>
  <si>
    <t>ROG - Rzut ogólny</t>
  </si>
  <si>
    <t>Nazewnictwo modeli</t>
  </si>
  <si>
    <t>RPO - Rzut posadzek</t>
  </si>
  <si>
    <t>23150-PT-AR-BUD-RXX-RRMMDD</t>
  </si>
  <si>
    <t>RSU - Rzut sufitów</t>
  </si>
  <si>
    <t>23150-PT-AR-PZT-RXX-RRMMDD</t>
  </si>
  <si>
    <t>SCH - Rozwinięcia/schemat</t>
  </si>
  <si>
    <t>Jeżeli dwie osoby pracują</t>
  </si>
  <si>
    <t>STT - Strona tytułowa</t>
  </si>
  <si>
    <r>
      <t>24091-PB-AR-MOD-XX-A01-R00-S0-</t>
    </r>
    <r>
      <rPr>
        <b/>
        <sz val="11"/>
        <color theme="1"/>
        <rFont val="Calibri"/>
        <family val="2"/>
        <charset val="238"/>
        <scheme val="minor"/>
      </rPr>
      <t>PG</t>
    </r>
    <r>
      <rPr>
        <sz val="11"/>
        <color theme="1"/>
        <rFont val="Calibri"/>
        <family val="2"/>
        <charset val="238"/>
        <scheme val="minor"/>
      </rPr>
      <t>(inicjały)</t>
    </r>
  </si>
  <si>
    <t>VIS - Wizualizacja</t>
  </si>
  <si>
    <t>ZJA - Projekt zjazdu</t>
  </si>
  <si>
    <t>ZSA - Spis arkuszy</t>
  </si>
  <si>
    <t>ZSD - Zestawienie stolarki drzwiowej</t>
  </si>
  <si>
    <t>ZSO - Zestawienie stolarki okiennej</t>
  </si>
  <si>
    <t>ZST - Zestawienie</t>
  </si>
  <si>
    <t>ZSW - Zestawienie witryn</t>
  </si>
  <si>
    <t>Zmiany</t>
  </si>
  <si>
    <t>3.1.1</t>
  </si>
  <si>
    <t>Dodano 3 typy: 
CHE - Charakterystyka energetyczna
OBR - Obrazek
STT - Strona tytułowa</t>
  </si>
  <si>
    <t>3.1.2.</t>
  </si>
  <si>
    <t>Dodano 2 typy z myślą o branży drogowej:
ORR - Organizacja ruchu (SOR/TOR)
ZJA - Projekt zjazdu</t>
  </si>
  <si>
    <t>3.1.3.</t>
  </si>
  <si>
    <t>Dodano 2 typy:
BIO - BIOZ
ZSA - Zestawienie arkuszy</t>
  </si>
  <si>
    <t>3.1.4.</t>
  </si>
  <si>
    <t>Dodano 2 Branże:
KF -Konstrukcja Fundamentow
KP - Konstrukcja pali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</si>
</sst>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0">
    <font>
      <sz val="11"/>
      <color theme="1"/>
      <name val="Calibri"/>
      <family val="2"/>
      <charset val="238"/>
      <scheme val="minor"/>
    </font>
    <font>
      <sz val="48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trike/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trike/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2"/>
      <color rgb="FF000000"/>
      <name val="Aptos"/>
      <family val="2"/>
    </font>
    <font>
      <sz val="24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1" xfId="0" applyBorder="1"/>
    <xf numFmtId="0" fontId="2" fillId="0" borderId="0" xfId="0" applyFont="1"/>
    <xf numFmtId="49" fontId="0" fillId="0" borderId="1" xfId="0" applyNumberFormat="1" applyBorder="1"/>
    <xf numFmtId="0" fontId="1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3" fillId="0" borderId="0" xfId="0" applyFont="1" applyAlignment="1">
      <alignment horizontal="left" vertical="center"/>
    </xf>
    <xf numFmtId="0" fontId="3" fillId="0" borderId="0" xfId="0" applyFont="1"/>
    <xf numFmtId="0" fontId="5" fillId="0" borderId="0" xfId="1"/>
    <xf numFmtId="0" fontId="0" fillId="2" borderId="0" xfId="0" applyFill="1"/>
    <xf numFmtId="0" fontId="2" fillId="2" borderId="0" xfId="0" applyFont="1" applyFill="1"/>
    <xf numFmtId="0" fontId="3" fillId="2" borderId="0" xfId="0" applyFont="1" applyFill="1" applyAlignment="1">
      <alignment horizontal="centerContinuous"/>
    </xf>
    <xf numFmtId="164" fontId="0" fillId="2" borderId="0" xfId="0" applyNumberFormat="1" applyFill="1"/>
    <xf numFmtId="49" fontId="0" fillId="2" borderId="0" xfId="0" applyNumberFormat="1" applyFill="1"/>
    <xf numFmtId="0" fontId="4" fillId="0" borderId="0" xfId="0" applyFont="1"/>
    <xf numFmtId="0" fontId="6" fillId="0" borderId="0" xfId="0" applyFont="1"/>
    <xf numFmtId="0" fontId="8" fillId="0" borderId="0" xfId="0" applyFont="1"/>
    <xf numFmtId="0" fontId="9" fillId="0" borderId="0" xfId="0" applyFont="1" applyAlignment="1">
      <alignment horizontal="left"/>
    </xf>
    <xf numFmtId="49" fontId="0" fillId="3" borderId="1" xfId="0" applyNumberFormat="1" applyFill="1" applyBorder="1" applyAlignment="1" applyProtection="1">
      <alignment horizontal="left" vertical="center"/>
      <protection locked="0"/>
    </xf>
    <xf numFmtId="49" fontId="0" fillId="3" borderId="0" xfId="0" applyNumberFormat="1" applyFill="1" applyAlignment="1" applyProtection="1">
      <alignment horizontal="left" vertical="center"/>
      <protection locked="0"/>
    </xf>
    <xf numFmtId="49" fontId="0" fillId="3" borderId="1" xfId="0" applyNumberFormat="1" applyFill="1" applyBorder="1" applyAlignment="1" applyProtection="1">
      <alignment horizontal="left"/>
      <protection locked="0"/>
    </xf>
    <xf numFmtId="49" fontId="0" fillId="3" borderId="1" xfId="0" applyNumberFormat="1" applyFill="1" applyBorder="1" applyAlignment="1" applyProtection="1">
      <alignment horizontal="centerContinuous"/>
      <protection locked="0"/>
    </xf>
    <xf numFmtId="0" fontId="0" fillId="3" borderId="1" xfId="0" applyFill="1" applyBorder="1" applyProtection="1">
      <protection locked="0"/>
    </xf>
    <xf numFmtId="0" fontId="2" fillId="0" borderId="0" xfId="0" applyFont="1" applyAlignment="1">
      <alignment horizontal="right"/>
    </xf>
    <xf numFmtId="14" fontId="2" fillId="0" borderId="0" xfId="0" applyNumberFormat="1" applyFont="1"/>
    <xf numFmtId="49" fontId="0" fillId="0" borderId="0" xfId="0" applyNumberFormat="1"/>
    <xf numFmtId="0" fontId="0" fillId="0" borderId="0" xfId="0" applyAlignment="1">
      <alignment wrapText="1"/>
    </xf>
  </cellXfs>
  <cellStyles count="2">
    <cellStyle name="Hiperłącze" xfId="1" builtinId="8"/>
    <cellStyle name="Normalny" xfId="0" builtinId="0"/>
  </cellStyles>
  <dxfs count="21">
    <dxf>
      <fill>
        <patternFill patternType="solid">
          <fgColor indexed="64"/>
          <bgColor rgb="FFFFFF00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solid">
          <fgColor indexed="64"/>
          <bgColor rgb="FFFFFF00"/>
        </patternFill>
      </fill>
    </dxf>
    <dxf>
      <numFmt numFmtId="30" formatCode="@"/>
      <fill>
        <patternFill patternType="solid">
          <fgColor indexed="64"/>
          <bgColor rgb="FFFFFF00"/>
        </patternFill>
      </fill>
    </dxf>
    <dxf>
      <border outline="0">
        <top style="thin">
          <color indexed="64"/>
        </top>
      </border>
    </dxf>
    <dxf>
      <numFmt numFmtId="30" formatCode="@"/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rgb="FF000000"/>
        </top>
      </border>
    </dxf>
    <dxf>
      <font>
        <b/>
      </font>
    </dxf>
    <dxf>
      <font>
        <b/>
      </font>
    </dxf>
    <dxf>
      <border outline="0">
        <top style="thin">
          <color rgb="FF000000"/>
        </top>
      </border>
    </dxf>
    <dxf>
      <font>
        <b/>
      </font>
    </dxf>
    <dxf>
      <border outline="0">
        <top style="thin">
          <color rgb="FF000000"/>
        </top>
      </border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8</xdr:row>
          <xdr:rowOff>38100</xdr:rowOff>
        </xdr:from>
        <xdr:to>
          <xdr:col>14</xdr:col>
          <xdr:colOff>571500</xdr:colOff>
          <xdr:row>12</xdr:row>
          <xdr:rowOff>66675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l-PL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Kopiuj nazwę pliku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iotr Godlewski" id="{94A355B1-F55F-4D4F-8378-052DA74B7128}" userId="S::p.godlewski@ekoinbud.pl::5d93eeee-9780-47fd-b611-fdd3e3eb99bf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FEB71E-F5EC-4173-B22C-5A42ED2683CA}" name="Faza_tbl" displayName="Faza_tbl" ref="B9:B21" totalsRowShown="0" headerRowDxfId="20" tableBorderDxfId="19">
  <sortState xmlns:xlrd2="http://schemas.microsoft.com/office/spreadsheetml/2017/richdata2" ref="B10:B21">
    <sortCondition ref="B10:B21"/>
  </sortState>
  <tableColumns count="1">
    <tableColumn id="1" xr3:uid="{0EB97458-31A4-49BA-8AAC-1735A8FA9712}" name="Faza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D4C26A-9F1E-492A-8314-258B184C520B}" name="Branża_tbl" displayName="Branża_tbl" ref="C9:C32" totalsRowShown="0" headerRowDxfId="18" tableBorderDxfId="17">
  <sortState xmlns:xlrd2="http://schemas.microsoft.com/office/spreadsheetml/2017/richdata2" ref="C10:C32">
    <sortCondition ref="C10:C32"/>
  </sortState>
  <tableColumns count="1">
    <tableColumn id="1" xr3:uid="{1E47E073-F539-4679-A427-F5A22FC222BC}" name="Branża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44E3D08-B5F5-4B9E-B372-AE54DE9B5F62}" name="Typ_tbl" displayName="Typ_tbl" ref="D9:D44" totalsRowShown="0" headerRowDxfId="16">
  <sortState xmlns:xlrd2="http://schemas.microsoft.com/office/spreadsheetml/2017/richdata2" ref="D10:D44">
    <sortCondition ref="D12:D44"/>
  </sortState>
  <tableColumns count="1">
    <tableColumn id="1" xr3:uid="{65EC7F67-28C3-49C9-AFFF-F6F7F2231B8E}" name="Typ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94DE8BF-4D80-4C11-A611-ABB61DCDA5D2}" name="Poziom_tbl" displayName="Poziom_tbl" ref="E9:E18" totalsRowShown="0" headerRowDxfId="15" tableBorderDxfId="14">
  <tableColumns count="1">
    <tableColumn id="1" xr3:uid="{28C3DFC3-AF87-4F7D-947C-E67DDE4B7CEA}" name="Poziom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4D8763-9265-4D04-8C97-8377965065A3}" name="Rewizja_tbl" displayName="Rewizja_tbl" ref="H9:H13" totalsRowShown="0" headerRowDxfId="13" dataDxfId="12">
  <tableColumns count="1">
    <tableColumn id="1" xr3:uid="{EA732E2D-8E6B-472A-963E-AEB3D5F4D4D7}" name="Rewizja/wersja" dataDxfId="11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D5D3CF-1773-4E78-BF85-85A6410CC2F6}" name="Wydanie_tbl" displayName="Wydanie_tbl" ref="I9:I13" totalsRowShown="0" headerRowDxfId="10" dataDxfId="9">
  <autoFilter ref="I9:I13" xr:uid="{5CD5D3CF-1773-4E78-BF85-85A6410CC2F6}">
    <filterColumn colId="0" hiddenButton="1"/>
  </autoFilter>
  <tableColumns count="1">
    <tableColumn id="1" xr3:uid="{207D592E-A6F7-4EB2-B693-94ED5F887618}" name="Wydanie" dataDxfId="8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3E0459A-4AD9-456B-828A-1A7F1EBCF5A6}" name="Table6" displayName="Table6" ref="G9:G29" totalsRowShown="0" headerRowDxfId="7" dataDxfId="6" tableBorderDxfId="5">
  <autoFilter ref="G9:G29" xr:uid="{53E0459A-4AD9-456B-828A-1A7F1EBCF5A6}">
    <filterColumn colId="0" hiddenButton="1"/>
  </autoFilter>
  <tableColumns count="1">
    <tableColumn id="1" xr3:uid="{CBED289A-46F0-4937-A8CC-BC9CC0FE735A}" name="Numer arkusza" dataDxfId="4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B266AA-F0FA-4DBC-849F-56772A1C9538}" name="Table8" displayName="Table8" ref="F9:F11" totalsRowShown="0" headerRowDxfId="3" dataDxfId="2" tableBorderDxfId="1">
  <autoFilter ref="F9:F11" xr:uid="{DBB266AA-F0FA-4DBC-849F-56772A1C9538}">
    <filterColumn colId="0" hiddenButton="1"/>
  </autoFilter>
  <tableColumns count="1">
    <tableColumn id="1" xr3:uid="{70E9C67A-4CDE-42C2-A8D0-5B313538D49C}" name="Branża_n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0" dT="2025-03-05T10:27:22.52" personId="{94A355B1-F55F-4D4F-8378-052DA74B7128}" id="{39287B89-791A-45A5-89DC-54ABA5A3462D}">
    <text>Dokument nie posiada ramki z numerem arkusza</text>
  </threadedComment>
  <threadedComment ref="F11" dT="2025-03-05T10:29:03.16" personId="{94A355B1-F55F-4D4F-8378-052DA74B7128}" id="{5E324D6D-A47A-4536-85E1-DFA18F3B10A2}">
    <text>Dokument dotyczy danej branży i posiada ramkę z numerem arkusza</text>
  </threadedComment>
  <threadedComment ref="E14" dT="2025-03-05T10:30:05.19" personId="{94A355B1-F55F-4D4F-8378-052DA74B7128}" id="{E1742E30-FB3C-4DB9-9A63-6C8588013569}">
    <text>także rzut stropu jętkowego/antresoli nad piętrem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13" Type="http://schemas.openxmlformats.org/officeDocument/2006/relationships/table" Target="../tables/table8.xml"/><Relationship Id="rId3" Type="http://schemas.openxmlformats.org/officeDocument/2006/relationships/drawing" Target="../drawings/drawing1.x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C:\Users\Piotr\Desktop\BIM\Dokumenty\ISO%2019650%20UK%20BIM%20Framework\Guidance-Part-C_Facilitating-the-common-data-environment-workflow-and-technical-solutions_Edition-1.pdf" TargetMode="External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1.xml"/><Relationship Id="rId15" Type="http://schemas.microsoft.com/office/2017/10/relationships/threadedComment" Target="../threadedComments/threadedComment1.xml"/><Relationship Id="rId10" Type="http://schemas.openxmlformats.org/officeDocument/2006/relationships/table" Target="../tables/table5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4.xml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E1E6B-4EA4-45C5-8E5E-4CE69A7A344A}">
  <sheetPr codeName="Sheet2">
    <pageSetUpPr fitToPage="1"/>
  </sheetPr>
  <dimension ref="A1:N44"/>
  <sheetViews>
    <sheetView tabSelected="1" topLeftCell="A4" zoomScaleNormal="100" workbookViewId="0">
      <selection activeCell="P40" sqref="P40"/>
    </sheetView>
  </sheetViews>
  <sheetFormatPr defaultRowHeight="15"/>
  <cols>
    <col min="1" max="1" width="18.7109375" bestFit="1" customWidth="1"/>
    <col min="2" max="2" width="31.85546875" bestFit="1" customWidth="1"/>
    <col min="3" max="4" width="28.28515625" customWidth="1"/>
    <col min="5" max="5" width="42.140625" customWidth="1"/>
    <col min="6" max="6" width="14.7109375" customWidth="1"/>
    <col min="7" max="7" width="15.85546875" customWidth="1"/>
    <col min="8" max="8" width="38.7109375" bestFit="1" customWidth="1"/>
    <col min="9" max="9" width="54" bestFit="1" customWidth="1"/>
    <col min="11" max="12" width="0" hidden="1" customWidth="1"/>
  </cols>
  <sheetData>
    <row r="1" spans="1:13">
      <c r="A1" t="s">
        <v>0</v>
      </c>
      <c r="C1" s="23" t="s">
        <v>1</v>
      </c>
    </row>
    <row r="2" spans="1:13">
      <c r="A2" t="s">
        <v>2</v>
      </c>
      <c r="C2" s="24">
        <v>46083</v>
      </c>
    </row>
    <row r="5" spans="1:13" ht="61.5">
      <c r="A5" s="4" t="str">
        <f>_xlfn.TEXTJOIN("-",,A8:F8,H8:I8)</f>
        <v>25055-ZL-AR-STW-XX-A01-R00-S2</v>
      </c>
      <c r="B5" s="4"/>
      <c r="C5" s="4"/>
      <c r="D5" s="4"/>
      <c r="E5" s="4"/>
      <c r="F5" s="5"/>
      <c r="G5" s="5"/>
      <c r="H5" s="5"/>
      <c r="I5">
        <f>LEN(A5)</f>
        <v>29</v>
      </c>
      <c r="M5" s="17" t="s">
        <v>3</v>
      </c>
    </row>
    <row r="6" spans="1:13" ht="18.75">
      <c r="A6" s="6" t="s">
        <v>4</v>
      </c>
      <c r="B6" s="6" t="s">
        <v>5</v>
      </c>
      <c r="C6" s="6" t="s">
        <v>6</v>
      </c>
      <c r="D6" s="6" t="s">
        <v>7</v>
      </c>
      <c r="E6" s="6" t="s">
        <v>8</v>
      </c>
      <c r="F6" s="11" t="s">
        <v>9</v>
      </c>
      <c r="G6" s="11"/>
      <c r="H6" s="7" t="s">
        <v>10</v>
      </c>
      <c r="I6" s="7" t="s">
        <v>11</v>
      </c>
    </row>
    <row r="7" spans="1:13">
      <c r="A7" s="18" t="s">
        <v>12</v>
      </c>
      <c r="B7" s="19" t="s">
        <v>13</v>
      </c>
      <c r="C7" s="19" t="s">
        <v>14</v>
      </c>
      <c r="D7" s="18" t="s">
        <v>15</v>
      </c>
      <c r="E7" s="19" t="s">
        <v>16</v>
      </c>
      <c r="F7" s="20" t="s">
        <v>6</v>
      </c>
      <c r="G7" s="21" t="s">
        <v>17</v>
      </c>
      <c r="H7" s="22" t="s">
        <v>18</v>
      </c>
      <c r="I7" s="22" t="s">
        <v>19</v>
      </c>
      <c r="K7" s="8" t="s">
        <v>20</v>
      </c>
      <c r="L7" t="s">
        <v>21</v>
      </c>
    </row>
    <row r="8" spans="1:13" hidden="1">
      <c r="A8" s="3" t="str">
        <f>A7</f>
        <v>25055</v>
      </c>
      <c r="B8" t="str">
        <f t="shared" ref="B8:E8" si="0">LEFT(B7,2)</f>
        <v>ZL</v>
      </c>
      <c r="C8" t="str">
        <f t="shared" si="0"/>
        <v>AR</v>
      </c>
      <c r="D8" s="1" t="str">
        <f>LEFT(D7,3)</f>
        <v>STW</v>
      </c>
      <c r="E8" t="str">
        <f t="shared" si="0"/>
        <v>XX</v>
      </c>
      <c r="F8" s="12" t="str">
        <f>_xlfn.TEXTJOIN(,TRUE,_xlfn.IFS(F7="X","X",TRUE,LEFT(C8,1)),G8)</f>
        <v>A01</v>
      </c>
      <c r="G8" s="13" t="str">
        <f>G7</f>
        <v>01</v>
      </c>
      <c r="H8" s="1" t="str">
        <f>LEFT(H7,3)</f>
        <v>R00</v>
      </c>
      <c r="I8" t="str">
        <f>LEFT(I7,2)</f>
        <v>S2</v>
      </c>
    </row>
    <row r="9" spans="1:13">
      <c r="A9" s="2" t="s">
        <v>22</v>
      </c>
      <c r="B9" s="2" t="s">
        <v>5</v>
      </c>
      <c r="C9" s="2" t="s">
        <v>6</v>
      </c>
      <c r="D9" s="2" t="s">
        <v>7</v>
      </c>
      <c r="E9" s="2" t="s">
        <v>8</v>
      </c>
      <c r="F9" s="10" t="s">
        <v>23</v>
      </c>
      <c r="G9" s="10" t="s">
        <v>24</v>
      </c>
      <c r="H9" s="2" t="s">
        <v>25</v>
      </c>
      <c r="I9" s="2" t="s">
        <v>26</v>
      </c>
    </row>
    <row r="10" spans="1:13">
      <c r="A10">
        <v>24233</v>
      </c>
      <c r="B10" t="s">
        <v>27</v>
      </c>
      <c r="C10" t="s">
        <v>28</v>
      </c>
      <c r="D10" t="s">
        <v>29</v>
      </c>
      <c r="E10" t="s">
        <v>30</v>
      </c>
      <c r="F10" s="9" t="s">
        <v>31</v>
      </c>
      <c r="G10" s="13" t="s">
        <v>17</v>
      </c>
      <c r="H10" t="s">
        <v>18</v>
      </c>
      <c r="I10" t="s">
        <v>32</v>
      </c>
    </row>
    <row r="11" spans="1:13">
      <c r="B11" t="s">
        <v>33</v>
      </c>
      <c r="C11" t="s">
        <v>14</v>
      </c>
      <c r="D11" t="s">
        <v>34</v>
      </c>
      <c r="E11" t="s">
        <v>35</v>
      </c>
      <c r="F11" s="9" t="s">
        <v>6</v>
      </c>
      <c r="G11" s="13" t="s">
        <v>36</v>
      </c>
      <c r="H11" t="s">
        <v>37</v>
      </c>
      <c r="I11" t="s">
        <v>38</v>
      </c>
    </row>
    <row r="12" spans="1:13">
      <c r="B12" t="s">
        <v>39</v>
      </c>
      <c r="C12" t="s">
        <v>40</v>
      </c>
      <c r="D12" t="s">
        <v>41</v>
      </c>
      <c r="E12" t="s">
        <v>42</v>
      </c>
      <c r="F12" s="9"/>
      <c r="G12" s="13" t="s">
        <v>43</v>
      </c>
      <c r="H12" t="s">
        <v>44</v>
      </c>
      <c r="I12" t="s">
        <v>19</v>
      </c>
    </row>
    <row r="13" spans="1:13">
      <c r="B13" t="s">
        <v>45</v>
      </c>
      <c r="C13" t="s">
        <v>27</v>
      </c>
      <c r="D13" t="s">
        <v>46</v>
      </c>
      <c r="E13" t="s">
        <v>47</v>
      </c>
      <c r="F13" s="9"/>
      <c r="G13" s="13" t="s">
        <v>48</v>
      </c>
      <c r="H13" t="s">
        <v>49</v>
      </c>
      <c r="I13" t="s">
        <v>50</v>
      </c>
    </row>
    <row r="14" spans="1:13">
      <c r="B14" t="s">
        <v>51</v>
      </c>
      <c r="C14" t="s">
        <v>52</v>
      </c>
      <c r="D14" t="s">
        <v>53</v>
      </c>
      <c r="E14" t="s">
        <v>54</v>
      </c>
      <c r="F14" s="9"/>
      <c r="G14" s="13" t="s">
        <v>55</v>
      </c>
    </row>
    <row r="15" spans="1:13">
      <c r="B15" t="s">
        <v>56</v>
      </c>
      <c r="C15" t="s">
        <v>57</v>
      </c>
      <c r="D15" t="s">
        <v>58</v>
      </c>
      <c r="E15" t="s">
        <v>59</v>
      </c>
      <c r="F15" s="9"/>
      <c r="G15" s="13" t="s">
        <v>60</v>
      </c>
    </row>
    <row r="16" spans="1:13">
      <c r="B16" t="s">
        <v>61</v>
      </c>
      <c r="C16" t="s">
        <v>62</v>
      </c>
      <c r="D16" t="s">
        <v>63</v>
      </c>
      <c r="E16" t="s">
        <v>64</v>
      </c>
      <c r="F16" s="9"/>
      <c r="G16" s="13" t="s">
        <v>65</v>
      </c>
    </row>
    <row r="17" spans="2:14">
      <c r="B17" t="s">
        <v>66</v>
      </c>
      <c r="C17" t="s">
        <v>67</v>
      </c>
      <c r="D17" t="s">
        <v>68</v>
      </c>
      <c r="E17" t="s">
        <v>69</v>
      </c>
      <c r="F17" s="9"/>
      <c r="G17" s="13" t="s">
        <v>70</v>
      </c>
    </row>
    <row r="18" spans="2:14">
      <c r="B18" t="s">
        <v>71</v>
      </c>
      <c r="C18" t="s">
        <v>72</v>
      </c>
      <c r="D18" t="s">
        <v>73</v>
      </c>
      <c r="E18" t="s">
        <v>16</v>
      </c>
      <c r="F18" s="9"/>
      <c r="G18" s="13" t="s">
        <v>74</v>
      </c>
    </row>
    <row r="19" spans="2:14" ht="15.75">
      <c r="B19" t="s">
        <v>75</v>
      </c>
      <c r="C19" t="s">
        <v>76</v>
      </c>
      <c r="D19" t="s">
        <v>77</v>
      </c>
      <c r="F19" s="9"/>
      <c r="G19" s="13" t="s">
        <v>78</v>
      </c>
      <c r="N19" s="16"/>
    </row>
    <row r="20" spans="2:14">
      <c r="B20" t="s">
        <v>79</v>
      </c>
      <c r="C20" t="s">
        <v>80</v>
      </c>
      <c r="D20" t="s">
        <v>81</v>
      </c>
      <c r="F20" s="9"/>
      <c r="G20" s="13" t="s">
        <v>82</v>
      </c>
    </row>
    <row r="21" spans="2:14" ht="15.75">
      <c r="B21" s="14" t="s">
        <v>13</v>
      </c>
      <c r="C21" t="s">
        <v>83</v>
      </c>
      <c r="D21" t="s">
        <v>84</v>
      </c>
      <c r="F21" s="9"/>
      <c r="G21" s="13" t="s">
        <v>85</v>
      </c>
      <c r="M21" s="16"/>
    </row>
    <row r="22" spans="2:14">
      <c r="C22" t="s">
        <v>86</v>
      </c>
      <c r="D22" t="s">
        <v>87</v>
      </c>
      <c r="E22" s="2"/>
      <c r="F22" s="9"/>
      <c r="G22" s="13" t="s">
        <v>88</v>
      </c>
    </row>
    <row r="23" spans="2:14">
      <c r="C23" t="s">
        <v>89</v>
      </c>
      <c r="D23" t="s">
        <v>90</v>
      </c>
      <c r="F23" s="9"/>
      <c r="G23" s="13" t="s">
        <v>91</v>
      </c>
    </row>
    <row r="24" spans="2:14">
      <c r="C24" t="s">
        <v>92</v>
      </c>
      <c r="D24" t="s">
        <v>93</v>
      </c>
      <c r="F24" s="9"/>
      <c r="G24" s="13" t="s">
        <v>94</v>
      </c>
    </row>
    <row r="25" spans="2:14">
      <c r="C25" t="s">
        <v>95</v>
      </c>
      <c r="D25" t="s">
        <v>96</v>
      </c>
      <c r="F25" s="9"/>
      <c r="G25" s="13" t="s">
        <v>97</v>
      </c>
    </row>
    <row r="26" spans="2:14">
      <c r="C26" t="s">
        <v>98</v>
      </c>
      <c r="D26" t="s">
        <v>99</v>
      </c>
      <c r="F26" s="9"/>
      <c r="G26" s="13" t="s">
        <v>100</v>
      </c>
    </row>
    <row r="27" spans="2:14">
      <c r="C27" t="s">
        <v>101</v>
      </c>
      <c r="D27" t="s">
        <v>102</v>
      </c>
      <c r="F27" s="9"/>
      <c r="G27" s="13" t="s">
        <v>103</v>
      </c>
    </row>
    <row r="28" spans="2:14">
      <c r="C28" t="s">
        <v>104</v>
      </c>
      <c r="D28" t="s">
        <v>105</v>
      </c>
      <c r="F28" s="9"/>
      <c r="G28" s="13" t="s">
        <v>106</v>
      </c>
    </row>
    <row r="29" spans="2:14">
      <c r="C29" t="s">
        <v>107</v>
      </c>
      <c r="D29" t="s">
        <v>108</v>
      </c>
      <c r="F29" s="9"/>
      <c r="G29" s="13" t="s">
        <v>109</v>
      </c>
    </row>
    <row r="30" spans="2:14">
      <c r="C30" t="s">
        <v>110</v>
      </c>
      <c r="D30" t="s">
        <v>111</v>
      </c>
    </row>
    <row r="31" spans="2:14">
      <c r="C31" t="s">
        <v>112</v>
      </c>
      <c r="D31" t="s">
        <v>113</v>
      </c>
    </row>
    <row r="32" spans="2:14">
      <c r="C32" t="s">
        <v>114</v>
      </c>
      <c r="D32" t="s">
        <v>115</v>
      </c>
    </row>
    <row r="33" spans="2:4">
      <c r="B33" s="15" t="s">
        <v>116</v>
      </c>
      <c r="C33" s="2"/>
      <c r="D33" t="s">
        <v>117</v>
      </c>
    </row>
    <row r="34" spans="2:4">
      <c r="B34" s="15" t="s">
        <v>118</v>
      </c>
      <c r="D34" t="s">
        <v>119</v>
      </c>
    </row>
    <row r="35" spans="2:4">
      <c r="B35" s="15" t="s">
        <v>120</v>
      </c>
      <c r="D35" t="s">
        <v>121</v>
      </c>
    </row>
    <row r="36" spans="2:4">
      <c r="B36" t="s">
        <v>122</v>
      </c>
      <c r="D36" t="s">
        <v>123</v>
      </c>
    </row>
    <row r="37" spans="2:4">
      <c r="B37" t="s">
        <v>124</v>
      </c>
      <c r="D37" t="s">
        <v>15</v>
      </c>
    </row>
    <row r="38" spans="2:4">
      <c r="D38" t="s">
        <v>125</v>
      </c>
    </row>
    <row r="39" spans="2:4">
      <c r="D39" t="s">
        <v>126</v>
      </c>
    </row>
    <row r="40" spans="2:4">
      <c r="D40" t="s">
        <v>127</v>
      </c>
    </row>
    <row r="41" spans="2:4">
      <c r="D41" t="s">
        <v>128</v>
      </c>
    </row>
    <row r="42" spans="2:4">
      <c r="D42" t="s">
        <v>129</v>
      </c>
    </row>
    <row r="43" spans="2:4">
      <c r="D43" t="s">
        <v>130</v>
      </c>
    </row>
    <row r="44" spans="2:4">
      <c r="D44" t="s">
        <v>131</v>
      </c>
    </row>
  </sheetData>
  <phoneticPr fontId="7" type="noConversion"/>
  <dataValidations count="8">
    <dataValidation type="list" allowBlank="1" showInputMessage="1" showErrorMessage="1" sqref="E7" xr:uid="{DFE3FEAE-379E-4E3F-9845-BF499897EDAF}">
      <formula1>$E$10:$E$18</formula1>
    </dataValidation>
    <dataValidation type="list" allowBlank="1" showInputMessage="1" showErrorMessage="1" sqref="C7" xr:uid="{01690DB6-EF44-444A-8AF2-E498E912ABF7}">
      <formula1>$C$10:$C$32</formula1>
    </dataValidation>
    <dataValidation type="list" operator="equal" allowBlank="1" showInputMessage="1" showErrorMessage="1" sqref="F7" xr:uid="{2ACF8B36-2534-48BC-A403-E719CC966BE2}">
      <formula1>$F$10:$F$11</formula1>
    </dataValidation>
    <dataValidation type="list" allowBlank="1" showInputMessage="1" showErrorMessage="1" sqref="H7" xr:uid="{0CCE737B-2FDA-4E35-BA52-745F2C8F1FFA}">
      <formula1>$H$10:$H$13</formula1>
    </dataValidation>
    <dataValidation type="list" allowBlank="1" showInputMessage="1" showErrorMessage="1" sqref="D7" xr:uid="{C25B8E83-D5A1-4840-A24A-161D089E96E8}">
      <formula1>$D$10:$D$44</formula1>
    </dataValidation>
    <dataValidation type="list" allowBlank="1" showInputMessage="1" showErrorMessage="1" sqref="B7" xr:uid="{500EB422-C764-4EE5-BA2D-A282A6086079}">
      <formula1>$B$10:$B$21</formula1>
    </dataValidation>
    <dataValidation type="list" allowBlank="1" showInputMessage="1" showErrorMessage="1" sqref="I7" xr:uid="{223112E1-9C67-4980-88D6-C369E694486C}">
      <formula1>$I$10:$I$13</formula1>
    </dataValidation>
    <dataValidation type="list" operator="equal" allowBlank="1" showInputMessage="1" showErrorMessage="1" sqref="G7" xr:uid="{E41DCF0A-328D-4700-A6D0-DDC770732216}">
      <formula1>$G$10:$G$29</formula1>
    </dataValidation>
  </dataValidations>
  <hyperlinks>
    <hyperlink ref="K7" r:id="rId1" xr:uid="{76EBFA8A-EE4B-4F9C-94C4-F14AC63B19D1}"/>
  </hyperlinks>
  <printOptions horizontalCentered="1" verticalCentered="1"/>
  <pageMargins left="0.7" right="0.7" top="0.75" bottom="0.75" header="0.3" footer="0.3"/>
  <pageSetup paperSize="9" scale="33" orientation="landscape" r:id="rId2"/>
  <ignoredErrors>
    <ignoredError sqref="G10:G29" numberStoredAsText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Sheet2.CopyCellA5ToClipboard">
                <anchor moveWithCells="1" sizeWithCells="1">
                  <from>
                    <xdr:col>9</xdr:col>
                    <xdr:colOff>571500</xdr:colOff>
                    <xdr:row>8</xdr:row>
                    <xdr:rowOff>38100</xdr:rowOff>
                  </from>
                  <to>
                    <xdr:col>14</xdr:col>
                    <xdr:colOff>571500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8"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53DAC-D17E-4246-8097-4179075735EC}">
  <dimension ref="A1:B30"/>
  <sheetViews>
    <sheetView workbookViewId="0">
      <selection activeCell="B6" sqref="B6"/>
    </sheetView>
  </sheetViews>
  <sheetFormatPr defaultRowHeight="15"/>
  <cols>
    <col min="2" max="2" width="89.28515625" customWidth="1"/>
  </cols>
  <sheetData>
    <row r="1" spans="1:2">
      <c r="A1" t="s">
        <v>132</v>
      </c>
    </row>
    <row r="2" spans="1:2" ht="60">
      <c r="A2" s="25" t="s">
        <v>133</v>
      </c>
      <c r="B2" s="26" t="s">
        <v>134</v>
      </c>
    </row>
    <row r="3" spans="1:2" ht="45">
      <c r="A3" s="25" t="s">
        <v>135</v>
      </c>
      <c r="B3" s="26" t="s">
        <v>136</v>
      </c>
    </row>
    <row r="4" spans="1:2" ht="45">
      <c r="A4" s="25" t="s">
        <v>137</v>
      </c>
      <c r="B4" s="26" t="s">
        <v>138</v>
      </c>
    </row>
    <row r="5" spans="1:2" ht="45">
      <c r="A5" s="25" t="s">
        <v>139</v>
      </c>
      <c r="B5" s="26" t="s">
        <v>140</v>
      </c>
    </row>
    <row r="6" spans="1:2">
      <c r="A6" s="25"/>
    </row>
    <row r="7" spans="1:2">
      <c r="A7" s="25"/>
    </row>
    <row r="8" spans="1:2">
      <c r="A8" s="25"/>
    </row>
    <row r="9" spans="1:2">
      <c r="A9" s="25"/>
    </row>
    <row r="10" spans="1:2">
      <c r="A10" s="25"/>
    </row>
    <row r="11" spans="1:2">
      <c r="A11" s="25"/>
    </row>
    <row r="12" spans="1:2">
      <c r="A12" s="25"/>
    </row>
    <row r="13" spans="1:2">
      <c r="A13" s="25"/>
    </row>
    <row r="14" spans="1:2">
      <c r="A14" s="25"/>
    </row>
    <row r="15" spans="1:2">
      <c r="A15" s="25"/>
    </row>
    <row r="16" spans="1:2">
      <c r="A16" s="25"/>
    </row>
    <row r="17" spans="1:1">
      <c r="A17" s="25"/>
    </row>
    <row r="18" spans="1:1">
      <c r="A18" s="25"/>
    </row>
    <row r="19" spans="1:1">
      <c r="A19" s="25"/>
    </row>
    <row r="20" spans="1:1">
      <c r="A20" s="25"/>
    </row>
    <row r="21" spans="1:1">
      <c r="A21" s="25"/>
    </row>
    <row r="22" spans="1:1">
      <c r="A22" s="25"/>
    </row>
    <row r="23" spans="1:1">
      <c r="A23" s="25"/>
    </row>
    <row r="24" spans="1:1">
      <c r="A24" s="25"/>
    </row>
    <row r="25" spans="1:1">
      <c r="A25" s="25"/>
    </row>
    <row r="26" spans="1:1">
      <c r="A26" s="25"/>
    </row>
    <row r="27" spans="1:1">
      <c r="A27" s="25"/>
    </row>
    <row r="28" spans="1:1">
      <c r="A28" s="25"/>
    </row>
    <row r="29" spans="1:1">
      <c r="A29" s="25"/>
    </row>
    <row r="30" spans="1:1">
      <c r="A30" s="2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78400EA9CC7FE4FB8922A5B50CBBE5F" ma:contentTypeVersion="14" ma:contentTypeDescription="Utwórz nowy dokument." ma:contentTypeScope="" ma:versionID="64f0cabac2e697d3a06aea62f22f1a7c">
  <xsd:schema xmlns:xsd="http://www.w3.org/2001/XMLSchema" xmlns:xs="http://www.w3.org/2001/XMLSchema" xmlns:p="http://schemas.microsoft.com/office/2006/metadata/properties" xmlns:ns2="3051fe93-d074-422c-97a8-09e0dd5e1186" xmlns:ns3="4bbf53c6-2c6d-4c01-8964-a4e5387f4f1a" targetNamespace="http://schemas.microsoft.com/office/2006/metadata/properties" ma:root="true" ma:fieldsID="b1dc80dcff129ee57673ff10290e4782" ns2:_="" ns3:_="">
    <xsd:import namespace="3051fe93-d074-422c-97a8-09e0dd5e1186"/>
    <xsd:import namespace="4bbf53c6-2c6d-4c01-8964-a4e5387f4f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51fe93-d074-422c-97a8-09e0dd5e11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Tagi obrazów" ma:readOnly="false" ma:fieldId="{5cf76f15-5ced-4ddc-b409-7134ff3c332f}" ma:taxonomyMulti="true" ma:sspId="1e893c76-a6e5-4770-a559-557b636506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bf53c6-2c6d-4c01-8964-a4e5387f4f1a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12f74d0-c724-465c-9c19-c8a49df99cea}" ma:internalName="TaxCatchAll" ma:showField="CatchAllData" ma:web="4bbf53c6-2c6d-4c01-8964-a4e5387f4f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bbf53c6-2c6d-4c01-8964-a4e5387f4f1a" xsi:nil="true"/>
    <lcf76f155ced4ddcb4097134ff3c332f xmlns="3051fe93-d074-422c-97a8-09e0dd5e118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8F22EED-869D-4C79-BD01-471490A60DA3}"/>
</file>

<file path=customXml/itemProps2.xml><?xml version="1.0" encoding="utf-8"?>
<ds:datastoreItem xmlns:ds="http://schemas.openxmlformats.org/officeDocument/2006/customXml" ds:itemID="{B5255A35-9CEE-413D-BE54-46735679837A}"/>
</file>

<file path=customXml/itemProps3.xml><?xml version="1.0" encoding="utf-8"?>
<ds:datastoreItem xmlns:ds="http://schemas.openxmlformats.org/officeDocument/2006/customXml" ds:itemID="{CC7B3A25-FC32-49DB-9F83-1D1E5A27E0B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Piotr Godlewski</dc:creator>
  <cp:keywords/>
  <dc:description/>
  <cp:lastModifiedBy>Anna Januszkiewicz</cp:lastModifiedBy>
  <cp:revision/>
  <dcterms:created xsi:type="dcterms:W3CDTF">2024-03-22T09:00:00Z</dcterms:created>
  <dcterms:modified xsi:type="dcterms:W3CDTF">2026-03-04T13:32:34Z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0x010100278400EA9CC7FE4FB8922A5B50CBBE5F</vt:lpwstr>
  </property>
  <property fmtid="{D5CDD505-2E9C-101B-9397-08002B2CF9AE}" pid="3" name="MediaServiceImageTags">
    <vt:lpwstr/>
  </property>
</Properties>
</file>